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rderea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1"/>
    </font>
    <font>
      <b val="1"/>
      <sz val="9"/>
    </font>
    <font>
      <b val="1"/>
      <color rgb="00FFFFFF"/>
      <sz val="10"/>
    </font>
    <font>
      <i val="1"/>
      <sz val="8"/>
    </font>
    <font>
      <b val="1"/>
      <i val="1"/>
      <sz val="9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/>
    </xf>
    <xf numFmtId="0" fontId="3" fillId="3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4" borderId="1" pivotButton="0" quotePrefix="0" xfId="0"/>
    <xf numFmtId="4" fontId="0" fillId="0" borderId="1" pivotButton="0" quotePrefix="0" xfId="0"/>
    <xf numFmtId="0" fontId="1" fillId="0" borderId="0" pivotButton="0" quotePrefix="0" xfId="0"/>
    <xf numFmtId="4" fontId="1" fillId="0" borderId="1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5" customWidth="1" min="1" max="1"/>
    <col width="78" customWidth="1" min="2" max="2"/>
    <col width="7" customWidth="1" min="3" max="3"/>
    <col width="10" customWidth="1" min="4" max="4"/>
    <col width="14" customWidth="1" min="5" max="5"/>
    <col width="15" customWidth="1" min="6" max="6"/>
  </cols>
  <sheetData>
    <row r="1" ht="30" customHeight="1">
      <c r="A1" s="1" t="inlineStr">
        <is>
          <t>FRDISI — FOURNITURE, INSTALLATION, RACCORDEMENT ET MISE EN SERVICE DE SYSTÈMES PHOTOVOLTAÏQUES AVEC BATTERIES DE STOCKAGE — CITÉ UNIVERSITAIRE UIB ET ÉCOLE SUPTECH — MOHAMMEDIA (EN LOT UNIQUE)</t>
        </is>
      </c>
    </row>
    <row r="2">
      <c r="A2" s="1" t="inlineStr">
        <is>
          <t>BORDEREAU DES PRIX — DÉTAIL ESTIMATIF (Contrat à prix unitaires) — Soumissionnaire : ACCORDIA TECH — Prix révisés 27/07/2026</t>
        </is>
      </c>
    </row>
    <row r="3">
      <c r="A3" s="2" t="inlineStr">
        <is>
          <t>N°</t>
        </is>
      </c>
      <c r="B3" s="2" t="inlineStr">
        <is>
          <t>Désignation</t>
        </is>
      </c>
      <c r="C3" s="2" t="inlineStr">
        <is>
          <t>Unité</t>
        </is>
      </c>
      <c r="D3" s="2" t="inlineStr">
        <is>
          <t>Quantité</t>
        </is>
      </c>
      <c r="E3" s="2" t="inlineStr">
        <is>
          <t>PU HT (DH)</t>
        </is>
      </c>
      <c r="F3" s="2" t="inlineStr">
        <is>
          <t>PT HT (DH)</t>
        </is>
      </c>
    </row>
    <row r="4">
      <c r="A4" s="3" t="inlineStr">
        <is>
          <t>BÂTIMENT A — RÉSIDENCE UNIVERSITAIRE UIB (BÂTIMENT EN L) — 95,0 kWc</t>
        </is>
      </c>
    </row>
    <row r="5" ht="42" customHeight="1">
      <c r="A5" s="4" t="n">
        <v>1</v>
      </c>
      <c r="B5" s="5" t="inlineStr">
        <is>
          <t>Modules PV monocristallins N-type ≥625 Wc (Trina Vertex N TSM-NEG19RC.20 ou JA Solar JAM66D45-625/LB, tolérance 0/+5 W, IEC 61215/61730), y compris structure aluminium/inox inclinée 10-15°, fixation sur massifs ou lestage, et pose</t>
        </is>
      </c>
      <c r="C5" s="4" t="inlineStr">
        <is>
          <t>U</t>
        </is>
      </c>
      <c r="D5" s="4" t="n">
        <v>152</v>
      </c>
      <c r="E5" s="6" t="n">
        <v>3060</v>
      </c>
      <c r="F5" s="7">
        <f>D5*E5</f>
        <v/>
      </c>
    </row>
    <row r="6" ht="42" customHeight="1">
      <c r="A6" s="4" t="n">
        <v>2</v>
      </c>
      <c r="B6" s="5" t="inlineStr">
        <is>
          <t>Onduleurs hybrides triphasés 50 kW Deye SUN-50K-SG01HP3-EU-BM4, y compris compteur zéro injection Eastron SDM630-MCT + TC, pose et mise en service</t>
        </is>
      </c>
      <c r="C6" s="4" t="inlineStr">
        <is>
          <t>U</t>
        </is>
      </c>
      <c r="D6" s="4" t="n">
        <v>2</v>
      </c>
      <c r="E6" s="6" t="n">
        <v>80000</v>
      </c>
      <c r="F6" s="7">
        <f>D6*E6</f>
        <v/>
      </c>
    </row>
    <row r="7" ht="42" customHeight="1">
      <c r="A7" s="4" t="n">
        <v>3</v>
      </c>
      <c r="B7" s="5" t="inlineStr">
        <is>
          <t>Batteries LFP haute tension Deye BOS-G (modules 5,12 kWh + coffret HV HVB750V/100A), y compris pose, protections et mise en service</t>
        </is>
      </c>
      <c r="C7" s="4" t="inlineStr">
        <is>
          <t>kWh</t>
        </is>
      </c>
      <c r="D7" s="4" t="n">
        <v>92</v>
      </c>
      <c r="E7" s="6" t="n">
        <v>2800</v>
      </c>
      <c r="F7" s="7">
        <f>D7*E7</f>
        <v/>
      </c>
    </row>
    <row r="8" ht="42" customHeight="1">
      <c r="A8" s="4" t="n">
        <v>4</v>
      </c>
      <c r="B8" s="5" t="inlineStr">
        <is>
          <t>Coffrets DC 1000 V multi-strings (sectionneur bipolaire, fusibles gPV 25 A, parafoudre T2)</t>
        </is>
      </c>
      <c r="C8" s="4" t="inlineStr">
        <is>
          <t>U</t>
        </is>
      </c>
      <c r="D8" s="4" t="n">
        <v>2</v>
      </c>
      <c r="E8" s="6" t="n">
        <v>4500</v>
      </c>
      <c r="F8" s="7">
        <f>D8*E8</f>
        <v/>
      </c>
    </row>
    <row r="9" ht="42" customHeight="1">
      <c r="A9" s="4" t="n">
        <v>5</v>
      </c>
      <c r="B9" s="5" t="inlineStr">
        <is>
          <t>Coffrets AC (disjoncteur 4P 80 A, différentiel, parafoudre T2)</t>
        </is>
      </c>
      <c r="C9" s="4" t="inlineStr">
        <is>
          <t>U</t>
        </is>
      </c>
      <c r="D9" s="4" t="n">
        <v>2</v>
      </c>
      <c r="E9" s="6" t="n">
        <v>8500</v>
      </c>
      <c r="F9" s="7">
        <f>D9*E9</f>
        <v/>
      </c>
    </row>
    <row r="10" ht="42" customHeight="1">
      <c r="A10" s="4" t="n">
        <v>6</v>
      </c>
      <c r="B10" s="5" t="inlineStr">
        <is>
          <t>TGPV A et couplage au TGBT existant du bâtiment, y compris adaptation</t>
        </is>
      </c>
      <c r="C10" s="4" t="inlineStr">
        <is>
          <t>ens</t>
        </is>
      </c>
      <c r="D10" s="4" t="n">
        <v>1</v>
      </c>
      <c r="E10" s="6" t="n">
        <v>15000</v>
      </c>
      <c r="F10" s="7">
        <f>D10*E10</f>
        <v/>
      </c>
    </row>
    <row r="11" ht="42" customHeight="1">
      <c r="A11" s="4" t="n">
        <v>7</v>
      </c>
      <c r="B11" s="5" t="inlineStr">
        <is>
          <t>Câbles solaires 6 mm² EN 50618, chemins de câbles UV avec couvercle, mise à la terre et liaisons équipotentielles, y compris liaison DC de 2 chaînes déportées depuis l'aile en arc (~60 m) en 16 mm² — quote-part de l'enveloppe câbles DC projet (10 km × 15 000 DH HT/km)</t>
        </is>
      </c>
      <c r="C11" s="4" t="inlineStr">
        <is>
          <t>ens</t>
        </is>
      </c>
      <c r="D11" s="4" t="n">
        <v>1</v>
      </c>
      <c r="E11" s="6" t="n">
        <v>60000</v>
      </c>
      <c r="F11" s="7">
        <f>D11*E11</f>
        <v/>
      </c>
    </row>
    <row r="12" ht="42" customHeight="1">
      <c r="A12" s="4" t="n">
        <v>8</v>
      </c>
      <c r="B12" s="5" t="inlineStr">
        <is>
          <t>Station météorologique IEC 61724 (pyranomètre, T° module/ambiante, anémomètre, MODBUS, mât 3 m)</t>
        </is>
      </c>
      <c r="C12" s="4" t="inlineStr">
        <is>
          <t>U</t>
        </is>
      </c>
      <c r="D12" s="4" t="n">
        <v>1</v>
      </c>
      <c r="E12" s="6" t="n">
        <v>50000</v>
      </c>
      <c r="F12" s="7">
        <f>D12*E12</f>
        <v/>
      </c>
    </row>
    <row r="13" ht="42" customHeight="1">
      <c r="A13" s="4" t="n">
        <v>9</v>
      </c>
      <c r="B13" s="5" t="inlineStr">
        <is>
          <t>Afficheur LED intérieur (kW, kWh, tCO2, caractères ≥50 mm lisibles à 20 m, logo personnalisé)</t>
        </is>
      </c>
      <c r="C13" s="4" t="inlineStr">
        <is>
          <t>U</t>
        </is>
      </c>
      <c r="D13" s="4" t="n">
        <v>1</v>
      </c>
      <c r="E13" s="6" t="n">
        <v>40000</v>
      </c>
      <c r="F13" s="7">
        <f>D13*E13</f>
        <v/>
      </c>
    </row>
    <row r="14">
      <c r="A14" s="3" t="inlineStr">
        <is>
          <t>BÂTIMENT B — RÉSIDENCE UNIVERSITAIRE UIB (BÂTIMENT EN ARC) — 75,0 kWc</t>
        </is>
      </c>
    </row>
    <row r="15" ht="42" customHeight="1">
      <c r="A15" s="4" t="n">
        <v>10</v>
      </c>
      <c r="B15" s="5" t="inlineStr">
        <is>
          <t>Modules PV monocristallins N-type ≥625 Wc (Trina Vertex N TSM-NEG19RC.20 ou JA Solar JAM66D45-625/LB, tolérance 0/+5 W, IEC 61215/61730), y compris structure aluminium/inox inclinée 10-15°, fixation sur massifs ou lestage, et pose</t>
        </is>
      </c>
      <c r="C15" s="4" t="inlineStr">
        <is>
          <t>U</t>
        </is>
      </c>
      <c r="D15" s="4" t="n">
        <v>120</v>
      </c>
      <c r="E15" s="6" t="n">
        <v>3060</v>
      </c>
      <c r="F15" s="7">
        <f>D15*E15</f>
        <v/>
      </c>
    </row>
    <row r="16" ht="42" customHeight="1">
      <c r="A16" s="4" t="n">
        <v>11</v>
      </c>
      <c r="B16" s="5" t="inlineStr">
        <is>
          <t>Onduleurs hybrides triphasés 50 kW Deye SUN-50K-SG01HP3-EU-BM4, y compris compteur zéro injection Eastron SDM630-MCT + TC, pose et mise en service</t>
        </is>
      </c>
      <c r="C16" s="4" t="inlineStr">
        <is>
          <t>U</t>
        </is>
      </c>
      <c r="D16" s="4" t="n">
        <v>1</v>
      </c>
      <c r="E16" s="6" t="n">
        <v>80000</v>
      </c>
      <c r="F16" s="7">
        <f>D16*E16</f>
        <v/>
      </c>
    </row>
    <row r="17" ht="42" customHeight="1">
      <c r="A17" s="4" t="n">
        <v>12</v>
      </c>
      <c r="B17" s="5" t="inlineStr">
        <is>
          <t>Batteries LFP haute tension Deye BOS-G (modules 5,12 kWh + coffret HV HVB750V/100A), y compris pose, protections et mise en service</t>
        </is>
      </c>
      <c r="C17" s="4" t="inlineStr">
        <is>
          <t>kWh</t>
        </is>
      </c>
      <c r="D17" s="4" t="n">
        <v>92</v>
      </c>
      <c r="E17" s="6" t="n">
        <v>2800</v>
      </c>
      <c r="F17" s="7">
        <f>D17*E17</f>
        <v/>
      </c>
    </row>
    <row r="18" ht="42" customHeight="1">
      <c r="A18" s="4" t="n">
        <v>13</v>
      </c>
      <c r="B18" s="5" t="inlineStr">
        <is>
          <t>Coffrets DC 1000 V multi-strings (sectionneur bipolaire, fusibles gPV 25 A, parafoudre T2)</t>
        </is>
      </c>
      <c r="C18" s="4" t="inlineStr">
        <is>
          <t>U</t>
        </is>
      </c>
      <c r="D18" s="4" t="n">
        <v>1</v>
      </c>
      <c r="E18" s="6" t="n">
        <v>4500</v>
      </c>
      <c r="F18" s="7">
        <f>D18*E18</f>
        <v/>
      </c>
    </row>
    <row r="19" ht="42" customHeight="1">
      <c r="A19" s="4" t="n">
        <v>14</v>
      </c>
      <c r="B19" s="5" t="inlineStr">
        <is>
          <t>Coffrets AC (disjoncteur 4P 80 A, différentiel, parafoudre T2)</t>
        </is>
      </c>
      <c r="C19" s="4" t="inlineStr">
        <is>
          <t>U</t>
        </is>
      </c>
      <c r="D19" s="4" t="n">
        <v>1</v>
      </c>
      <c r="E19" s="6" t="n">
        <v>8500</v>
      </c>
      <c r="F19" s="7">
        <f>D19*E19</f>
        <v/>
      </c>
    </row>
    <row r="20" ht="42" customHeight="1">
      <c r="A20" s="4" t="n">
        <v>15</v>
      </c>
      <c r="B20" s="5" t="inlineStr">
        <is>
          <t>TGPV B et couplage au TGBT existant du bâtiment, y compris adaptation</t>
        </is>
      </c>
      <c r="C20" s="4" t="inlineStr">
        <is>
          <t>ens</t>
        </is>
      </c>
      <c r="D20" s="4" t="n">
        <v>1</v>
      </c>
      <c r="E20" s="6" t="n">
        <v>15000</v>
      </c>
      <c r="F20" s="7">
        <f>D20*E20</f>
        <v/>
      </c>
    </row>
    <row r="21">
      <c r="A21" s="3" t="inlineStr">
        <is>
          <t>BÂTIMENT C — ÉCOLE SUPTECH — 180,0 kWc</t>
        </is>
      </c>
    </row>
    <row r="22" ht="42" customHeight="1">
      <c r="A22" s="4" t="n">
        <v>16</v>
      </c>
      <c r="B22" s="5" t="inlineStr">
        <is>
          <t>Modules PV monocristallins N-type ≥625 Wc (Trina Vertex N TSM-NEG19RC.20 ou JA Solar JAM66D45-625/LB, tolérance 0/+5 W, IEC 61215/61730), y compris structure aluminium/inox inclinée 10-15°, fixation sur massifs ou lestage, et pose</t>
        </is>
      </c>
      <c r="C22" s="4" t="inlineStr">
        <is>
          <t>U</t>
        </is>
      </c>
      <c r="D22" s="4" t="n">
        <v>288</v>
      </c>
      <c r="E22" s="6" t="n">
        <v>3060</v>
      </c>
      <c r="F22" s="7">
        <f>D22*E22</f>
        <v/>
      </c>
    </row>
    <row r="23" ht="42" customHeight="1">
      <c r="A23" s="4" t="n">
        <v>17</v>
      </c>
      <c r="B23" s="5" t="inlineStr">
        <is>
          <t>Onduleurs hybrides triphasés 50 kW Deye SUN-50K-SG01HP3-EU-BM4, y compris compteur zéro injection Eastron SDM630-MCT + TC, pose et mise en service</t>
        </is>
      </c>
      <c r="C23" s="4" t="inlineStr">
        <is>
          <t>U</t>
        </is>
      </c>
      <c r="D23" s="4" t="n">
        <v>3</v>
      </c>
      <c r="E23" s="6" t="n">
        <v>80000</v>
      </c>
      <c r="F23" s="7">
        <f>D23*E23</f>
        <v/>
      </c>
    </row>
    <row r="24" ht="42" customHeight="1">
      <c r="A24" s="4" t="n">
        <v>18</v>
      </c>
      <c r="B24" s="5" t="inlineStr">
        <is>
          <t>Batteries LFP haute tension Deye BOS-G (modules 5,12 kWh + coffret HV HVB750V/100A), y compris pose, protections et mise en service</t>
        </is>
      </c>
      <c r="C24" s="4" t="inlineStr">
        <is>
          <t>kWh</t>
        </is>
      </c>
      <c r="D24" s="4" t="n">
        <v>92</v>
      </c>
      <c r="E24" s="6" t="n">
        <v>2800</v>
      </c>
      <c r="F24" s="7">
        <f>D24*E24</f>
        <v/>
      </c>
    </row>
    <row r="25" ht="42" customHeight="1">
      <c r="A25" s="4" t="n">
        <v>19</v>
      </c>
      <c r="B25" s="5" t="inlineStr">
        <is>
          <t>Coffrets DC 1000 V multi-strings (sectionneur bipolaire, fusibles gPV 25 A, parafoudre T2)</t>
        </is>
      </c>
      <c r="C25" s="4" t="inlineStr">
        <is>
          <t>U</t>
        </is>
      </c>
      <c r="D25" s="4" t="n">
        <v>3</v>
      </c>
      <c r="E25" s="6" t="n">
        <v>4500</v>
      </c>
      <c r="F25" s="7">
        <f>D25*E25</f>
        <v/>
      </c>
    </row>
    <row r="26" ht="42" customHeight="1">
      <c r="A26" s="4" t="n">
        <v>20</v>
      </c>
      <c r="B26" s="5" t="inlineStr">
        <is>
          <t>Coffrets AC (disjoncteur 4P 80 A, différentiel, parafoudre T2)</t>
        </is>
      </c>
      <c r="C26" s="4" t="inlineStr">
        <is>
          <t>U</t>
        </is>
      </c>
      <c r="D26" s="4" t="n">
        <v>3</v>
      </c>
      <c r="E26" s="6" t="n">
        <v>8500</v>
      </c>
      <c r="F26" s="7">
        <f>D26*E26</f>
        <v/>
      </c>
    </row>
    <row r="27" ht="42" customHeight="1">
      <c r="A27" s="4" t="n">
        <v>21</v>
      </c>
      <c r="B27" s="5" t="inlineStr">
        <is>
          <t>TGPV C et couplage au TGBT école, y compris adaptation</t>
        </is>
      </c>
      <c r="C27" s="4" t="inlineStr">
        <is>
          <t>ens</t>
        </is>
      </c>
      <c r="D27" s="4" t="n">
        <v>1</v>
      </c>
      <c r="E27" s="6" t="n">
        <v>15000</v>
      </c>
      <c r="F27" s="7">
        <f>D27*E27</f>
        <v/>
      </c>
    </row>
    <row r="28" ht="42" customHeight="1">
      <c r="A28" s="4" t="n">
        <v>22</v>
      </c>
      <c r="B28" s="5" t="inlineStr">
        <is>
          <t>Câbles solaires 6 mm² EN 50618, chemins de câbles UV avec couvercle, mise à la terre et liaisons équipotentielles (école) — quote-part de l'enveloppe câbles DC projet (10 km × 15 000 DH HT/km)</t>
        </is>
      </c>
      <c r="C28" s="4" t="inlineStr">
        <is>
          <t>ens</t>
        </is>
      </c>
      <c r="D28" s="4" t="n">
        <v>1</v>
      </c>
      <c r="E28" s="6" t="n">
        <v>45000</v>
      </c>
      <c r="F28" s="7">
        <f>D28*E28</f>
        <v/>
      </c>
    </row>
    <row r="29" ht="42" customHeight="1">
      <c r="A29" s="4" t="n">
        <v>23</v>
      </c>
      <c r="B29" s="5" t="inlineStr">
        <is>
          <t>Station météorologique IEC 61724 (pyranomètre, T° module/ambiante, anémomètre, MODBUS, mât 3 m)</t>
        </is>
      </c>
      <c r="C29" s="4" t="inlineStr">
        <is>
          <t>U</t>
        </is>
      </c>
      <c r="D29" s="4" t="n">
        <v>1</v>
      </c>
      <c r="E29" s="6" t="n">
        <v>50000</v>
      </c>
      <c r="F29" s="7">
        <f>D29*E29</f>
        <v/>
      </c>
    </row>
    <row r="30" ht="42" customHeight="1">
      <c r="A30" s="4" t="n">
        <v>24</v>
      </c>
      <c r="B30" s="5" t="inlineStr">
        <is>
          <t>Afficheur LED intérieur (kW, kWh, tCO2, caractères ≥50 mm lisibles à 20 m, logo personnalisé)</t>
        </is>
      </c>
      <c r="C30" s="4" t="inlineStr">
        <is>
          <t>U</t>
        </is>
      </c>
      <c r="D30" s="4" t="n">
        <v>1</v>
      </c>
      <c r="E30" s="6" t="n">
        <v>40000</v>
      </c>
      <c r="F30" s="7">
        <f>D30*E30</f>
        <v/>
      </c>
    </row>
    <row r="31">
      <c r="A31" s="3" t="inlineStr">
        <is>
          <t>PRESTATIONS COMMUNES AUX DEUX SITES</t>
        </is>
      </c>
    </row>
    <row r="32" ht="42" customHeight="1">
      <c r="A32" s="4" t="n">
        <v>25</v>
      </c>
      <c r="B32" s="5" t="inlineStr">
        <is>
          <t>Études d'exécution complètes (note de calcul, calepinage, schémas), note de calcul vent/structure par BET, visa bureau de contrôle agréé, dossier d'exécution</t>
        </is>
      </c>
      <c r="C32" s="4" t="inlineStr">
        <is>
          <t>ens</t>
        </is>
      </c>
      <c r="D32" s="4" t="n">
        <v>1</v>
      </c>
      <c r="E32" s="6" t="n">
        <v>280000</v>
      </c>
      <c r="F32" s="7">
        <f>D32*E32</f>
        <v/>
      </c>
    </row>
    <row r="33" ht="42" customHeight="1">
      <c r="A33" s="4" t="n">
        <v>26</v>
      </c>
      <c r="B33" s="5" t="inlineStr">
        <is>
          <t>Câbles solaires, chemins de câbles, mise à la terre — Bâtiment B (aile en arc) — quote-part de l'enveloppe câbles DC projet (10 km × 15 000 DH HT/km)</t>
        </is>
      </c>
      <c r="C33" s="4" t="inlineStr">
        <is>
          <t>ens</t>
        </is>
      </c>
      <c r="D33" s="4" t="n">
        <v>1</v>
      </c>
      <c r="E33" s="6" t="n">
        <v>45000</v>
      </c>
      <c r="F33" s="7">
        <f>D33*E33</f>
        <v/>
      </c>
    </row>
    <row r="34" ht="42" customHeight="1">
      <c r="A34" s="4" t="n">
        <v>27</v>
      </c>
      <c r="B34" s="5" t="inlineStr">
        <is>
          <t>Liaison électrique et communication inter-sites (U1000 AR2V 3x240+120 mm² alu enterré sous fourreau TPC Ø160, fibre optique 8 brins, protections et compteurs bidirectionnels aux deux extrémités, génie civil de tranchée)</t>
        </is>
      </c>
      <c r="C34" s="4" t="inlineStr">
        <is>
          <t>ml</t>
        </is>
      </c>
      <c r="D34" s="4" t="n">
        <v>150</v>
      </c>
      <c r="E34" s="6" t="n">
        <v>1600</v>
      </c>
      <c r="F34" s="7">
        <f>D34*E34</f>
        <v/>
      </c>
    </row>
    <row r="35" ht="42" customHeight="1">
      <c r="A35" s="4" t="n">
        <v>28</v>
      </c>
      <c r="B35" s="5" t="inlineStr">
        <is>
          <t>Système EMS centralisé multi-bâtiments (gestion des priorités, SOC, transfert bidirectionnel, zéro injection, supervision, historisation, accès distant)</t>
        </is>
      </c>
      <c r="C35" s="4" t="inlineStr">
        <is>
          <t>ens</t>
        </is>
      </c>
      <c r="D35" s="4" t="n">
        <v>1</v>
      </c>
      <c r="E35" s="6" t="n">
        <v>220000</v>
      </c>
      <c r="F35" s="7">
        <f>D35*E35</f>
        <v/>
      </c>
    </row>
    <row r="36" ht="42" customHeight="1">
      <c r="A36" s="4" t="n">
        <v>29</v>
      </c>
      <c r="B36" s="5" t="inlineStr">
        <is>
          <t>Travaux de génie civil, reprise d'étanchéité des massifs après fixation (garantie décennale), percements, rebouchages</t>
        </is>
      </c>
      <c r="C36" s="4" t="inlineStr">
        <is>
          <t>ens</t>
        </is>
      </c>
      <c r="D36" s="4" t="n">
        <v>1</v>
      </c>
      <c r="E36" s="6" t="n">
        <v>120000</v>
      </c>
      <c r="F36" s="7">
        <f>D36*E36</f>
        <v/>
      </c>
    </row>
    <row r="37" ht="42" customHeight="1">
      <c r="A37" s="4" t="n">
        <v>30</v>
      </c>
      <c r="B37" s="5" t="inlineStr">
        <is>
          <t>Essais et contrôles par laboratoire agréé, mise en service générale, formation du personnel, dossier de récolement DOE (4 ex. papier + CD AutoCAD)</t>
        </is>
      </c>
      <c r="C37" s="4" t="inlineStr">
        <is>
          <t>ens</t>
        </is>
      </c>
      <c r="D37" s="4" t="n">
        <v>1</v>
      </c>
      <c r="E37" s="6" t="n">
        <v>70000</v>
      </c>
      <c r="F37" s="7">
        <f>D37*E37</f>
        <v/>
      </c>
    </row>
    <row r="39">
      <c r="B39" s="8" t="inlineStr">
        <is>
          <t>TOTAL HT</t>
        </is>
      </c>
      <c r="F39" s="9">
        <f>SUM(F5:F37)</f>
        <v/>
      </c>
    </row>
    <row r="40">
      <c r="B40" s="8" t="inlineStr">
        <is>
          <t>TVA 20%</t>
        </is>
      </c>
      <c r="F40" s="9">
        <f>F39*0.2</f>
        <v/>
      </c>
    </row>
    <row r="41">
      <c r="B41" s="8" t="inlineStr">
        <is>
          <t>TOTAL TTC</t>
        </is>
      </c>
      <c r="F41" s="9">
        <f>F39+F40</f>
        <v/>
      </c>
    </row>
    <row r="43" ht="30" customHeight="1">
      <c r="A43" s="1" t="inlineStr">
        <is>
          <t>ARRÊTÉ LE PRÉSENT BORDEREAU À LA SOMME DE (TTC) : CINQ MILLIONS DEUX CENT DIX-NEUF MILLE DEUX CENT QUATRE-VINGTS DIRHAMS (5 219 280,00 DH TTC)</t>
        </is>
      </c>
    </row>
    <row r="45">
      <c r="A45" t="inlineStr">
        <is>
          <t>Fait à ………………, le ……………… — Le soumissionnaire (nom, qualité, signature et cachet) :</t>
        </is>
      </c>
    </row>
    <row r="47">
      <c r="A47" s="10" t="inlineStr">
        <is>
          <t>Note : les cellules en surbrillance jaune (Prix Unitaire HT) sont modifiables par le soumissionnaire. Le Prix Total HT se calcule automatiquement (Quantité × Prix Unitaire HT).</t>
        </is>
      </c>
    </row>
    <row r="49" ht="55" customHeight="1">
      <c r="A49" s="11" t="inlineStr">
        <is>
          <t>CLAUSE DE RÉSERVE — QUANTITÉS : les quantités du présent bordereau correspondent au maximum que nos études préliminaires permettent d'implanter sur les toitures. L'étude d'exécution définitive, établie après relevé contradictoire complet des toitures, pourra conduire à installer un nombre de modules inférieur ; le marché étant à prix unitaires, le décompte final portera exclusivement sur les quantités réellement installées et réceptionnées.</t>
        </is>
      </c>
    </row>
  </sheetData>
  <mergeCells count="10">
    <mergeCell ref="A2:F2"/>
    <mergeCell ref="A49:F49"/>
    <mergeCell ref="A47:F47"/>
    <mergeCell ref="A14:F14"/>
    <mergeCell ref="A1:F1"/>
    <mergeCell ref="A45:F45"/>
    <mergeCell ref="A31:F31"/>
    <mergeCell ref="A4:F4"/>
    <mergeCell ref="A21:F21"/>
    <mergeCell ref="A43:F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2026-07-27T15:31:00Z</dcterms:created>
  <dcterms:modified xsi:type="dcterms:W3CDTF">2026-07-27T15:32:01Z</dcterms:modified>
</cp:coreProperties>
</file>