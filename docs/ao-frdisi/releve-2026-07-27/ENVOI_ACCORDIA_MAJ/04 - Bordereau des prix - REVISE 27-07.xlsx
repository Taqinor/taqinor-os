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tlenciax-my.sharepoint.com/personal/redakasri_atlenciax_onmicrosoft_com/Documents/TAQINOR/AO FRDISI - Solaire Mohammedia 2026/ENVOI ACCORDIA - FINAL 27-07/"/>
    </mc:Choice>
  </mc:AlternateContent>
  <xr:revisionPtr revIDLastSave="0" documentId="11_85E66461937B9CDFEF56F476522D1E7DD9FF6B6F" xr6:coauthVersionLast="47" xr6:coauthVersionMax="47" xr10:uidLastSave="{00000000-0000-0000-0000-000000000000}"/>
  <bookViews>
    <workbookView xWindow="5760" yWindow="3312" windowWidth="17280" windowHeight="8928" xr2:uid="{00000000-000D-0000-FFFF-FFFF00000000}"/>
  </bookViews>
  <sheets>
    <sheet name="Borderea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6" i="1"/>
  <c r="F35" i="1"/>
  <c r="F34" i="1"/>
  <c r="F33" i="1"/>
  <c r="F32" i="1"/>
  <c r="F30" i="1"/>
  <c r="F29" i="1"/>
  <c r="F28" i="1"/>
  <c r="F27" i="1"/>
  <c r="F26" i="1"/>
  <c r="F25" i="1"/>
  <c r="F24" i="1"/>
  <c r="F23" i="1"/>
  <c r="F22" i="1"/>
  <c r="F20" i="1"/>
  <c r="F19" i="1"/>
  <c r="F18" i="1"/>
  <c r="F17" i="1"/>
  <c r="F16" i="1"/>
  <c r="F15" i="1"/>
  <c r="F13" i="1"/>
  <c r="F12" i="1"/>
  <c r="F11" i="1"/>
  <c r="F10" i="1"/>
  <c r="F9" i="1"/>
  <c r="F8" i="1"/>
  <c r="F7" i="1"/>
  <c r="F6" i="1"/>
  <c r="F5" i="1"/>
  <c r="F39" i="1" s="1"/>
  <c r="F40" i="1" l="1"/>
  <c r="F41" i="1" s="1"/>
</calcChain>
</file>

<file path=xl/sharedStrings.xml><?xml version="1.0" encoding="utf-8"?>
<sst xmlns="http://schemas.openxmlformats.org/spreadsheetml/2006/main" count="79" uniqueCount="41">
  <si>
    <t>FRDISI — FOURNITURE, INSTALLATION, RACCORDEMENT ET MISE EN SERVICE DE SYSTÈMES PHOTOVOLTAÏQUES AVEC BATTERIES DE STOCKAGE — CITÉ UNIVERSITAIRE UIB ET ÉCOLE SUPTECH — MOHAMMEDIA (EN LOT UNIQUE)</t>
  </si>
  <si>
    <t>BORDEREAU DES PRIX — DÉTAIL ESTIMATIF (Contrat à prix unitaires) — Soumissionnaire : ACCORDIA TECH — Prix révisés 27/07/2026</t>
  </si>
  <si>
    <t>N°</t>
  </si>
  <si>
    <t>Désignation</t>
  </si>
  <si>
    <t>Unité</t>
  </si>
  <si>
    <t>Quantité</t>
  </si>
  <si>
    <t>PU HT (DH)</t>
  </si>
  <si>
    <t>PT HT (DH)</t>
  </si>
  <si>
    <t>BÂTIMENT A — RÉSIDENCE UNIVERSITAIRE UIB (BÂTIMENT EN L) — 95,0 kWc</t>
  </si>
  <si>
    <t>Modules PV monocristallins N-type ≥625 Wc (Trina Vertex N TSM-NEG19RC.20 ou JA Solar JAM66D45-625/LB, tolérance 0/+5 W, IEC 61215/61730), y compris structure aluminium/inox inclinée 10-15°, fixation sur massifs ou lestage, et pose</t>
  </si>
  <si>
    <t>U</t>
  </si>
  <si>
    <t>Onduleurs hybrides triphasés 50 kW Deye SUN-50K-SG01HP3-EU-BM4, y compris compteur zéro injection Eastron SDM630-MCT + TC, pose et mise en service</t>
  </si>
  <si>
    <t>Batteries LFP haute tension Deye BOS-G (modules 5,12 kWh + coffret HV HVB750V/100A), y compris pose, protections et mise en service</t>
  </si>
  <si>
    <t>kWh</t>
  </si>
  <si>
    <t>Coffrets DC 1000 V multi-strings (sectionneur bipolaire, fusibles gPV 25 A, parafoudre T2)</t>
  </si>
  <si>
    <t>Coffrets AC (disjoncteur 4P 80 A, différentiel, parafoudre T2)</t>
  </si>
  <si>
    <t>TGPV A et couplage au TGBT existant du bâtiment, y compris adaptation</t>
  </si>
  <si>
    <t>ens</t>
  </si>
  <si>
    <t>Câbles solaires 6 mm² EN 50618, chemins de câbles UV avec couvercle, mise à la terre et liaisons équipotentielles, y compris liaison DC de 2 chaînes déportées depuis l'aile en arc (~60 m) en 16 mm² — quote-part de l'enveloppe câbles DC projet (10 km × 15 000 DH HT/km)</t>
  </si>
  <si>
    <t>Station météorologique IEC 61724 (pyranomètre, T° module/ambiante, anémomètre, MODBUS, mât 3 m)</t>
  </si>
  <si>
    <t>Afficheur LED intérieur (kW, kWh, tCO2, caractères ≥50 mm lisibles à 20 m, logo personnalisé)</t>
  </si>
  <si>
    <t>BÂTIMENT B — RÉSIDENCE UNIVERSITAIRE UIB (BÂTIMENT EN ARC) — 75,0 kWc</t>
  </si>
  <si>
    <t>TGPV B et couplage au TGBT existant du bâtiment, y compris adaptation</t>
  </si>
  <si>
    <t>BÂTIMENT C — ÉCOLE SUPTECH — 180,0 kWc</t>
  </si>
  <si>
    <t>TGPV C et couplage au TGBT école, y compris adaptation</t>
  </si>
  <si>
    <t>Câbles solaires 6 mm² EN 50618, chemins de câbles UV avec couvercle, mise à la terre et liaisons équipotentielles (école) — quote-part de l'enveloppe câbles DC projet (10 km × 15 000 DH HT/km)</t>
  </si>
  <si>
    <t>PRESTATIONS COMMUNES AUX DEUX SITES</t>
  </si>
  <si>
    <t>Études d'exécution complètes (note de calcul, calepinage, schémas), note de calcul vent/structure par BET, visa bureau de contrôle agréé, dossier d'exécution</t>
  </si>
  <si>
    <t>Câbles solaires, chemins de câbles, mise à la terre — Bâtiment B (aile en arc) — quote-part de l'enveloppe câbles DC projet (10 km × 15 000 DH HT/km)</t>
  </si>
  <si>
    <t>Liaison électrique et communication inter-sites (U1000 AR2V 3x240+120 mm² alu enterré sous fourreau TPC Ø160, fibre optique 8 brins, protections et compteurs bidirectionnels aux deux extrémités, génie civil de tranchée)</t>
  </si>
  <si>
    <t>ml</t>
  </si>
  <si>
    <t>Système EMS centralisé multi-bâtiments (gestion des priorités, SOC, transfert bidirectionnel, zéro injection, supervision, historisation, accès distant)</t>
  </si>
  <si>
    <t>Travaux de génie civil, reprise d'étanchéité des massifs après fixation (garantie décennale), percements, rebouchages</t>
  </si>
  <si>
    <t>Essais et contrôles par laboratoire agréé, mise en service générale, formation du personnel, dossier de récolement DOE (4 ex. papier + CD AutoCAD)</t>
  </si>
  <si>
    <t>TOTAL HT</t>
  </si>
  <si>
    <t>TVA 20%</t>
  </si>
  <si>
    <t>TOTAL TTC</t>
  </si>
  <si>
    <t>ARRÊTÉ LE PRÉSENT BORDEREAU À LA SOMME DE (TTC) : QUATRE MILLIONS NEUF CENT QUATRE-VINGT-DIX-NEUF MILLE NEUF CENT VINGT DIRHAMS (4 999 920,00 DH TTC)</t>
  </si>
  <si>
    <t>Fait à ………………, le ……………… — Le soumissionnaire (nom, qualité, signature et cachet) :</t>
  </si>
  <si>
    <t>Note : les cellules en surbrillance jaune (Prix Unitaire HT) sont modifiables par le soumissionnaire. Le Prix Total HT se calcule automatiquement (Quantité × Prix Unitaire HT).</t>
  </si>
  <si>
    <t>CLAUSE DE RÉSERVE — QUANTITÉS : les quantités du présent bordereau correspondent au maximum que nos études préliminaires permettent d'implanter sur les toitures. L'étude d'exécution définitive, établie après relevé contradictoire complet des toitures, pourra conduire à installer un nombre de modules inférieur ; le marché étant à prix unitaires, le décompte final portera exclusivement sur les quantités réellement installées et réceptionnées.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</si>
</sst>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name val="Calibri"/>
    </font>
    <font>
      <b/>
      <sz val="10"/>
      <color rgb="FFFFFFFF"/>
      <name val="Calibri"/>
    </font>
    <font>
      <i/>
      <sz val="8"/>
      <name val="Calibri"/>
    </font>
    <font>
      <b/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4" fontId="0" fillId="4" borderId="1" xfId="0" applyNumberFormat="1" applyFill="1" applyBorder="1"/>
    <xf numFmtId="4" fontId="0" fillId="0" borderId="1" xfId="0" applyNumberFormat="1" applyBorder="1"/>
    <xf numFmtId="0" fontId="1" fillId="0" borderId="0" xfId="0" applyFont="1"/>
    <xf numFmtId="4" fontId="1" fillId="0" borderId="1" xfId="0" applyNumberFormat="1" applyFont="1" applyBorder="1"/>
    <xf numFmtId="0" fontId="1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  <xf numFmtId="0" fontId="4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23" zoomScale="51" workbookViewId="0">
      <selection activeCell="E35" sqref="E35"/>
    </sheetView>
  </sheetViews>
  <sheetFormatPr defaultRowHeight="14.4" x14ac:dyDescent="0.3"/>
  <cols>
    <col min="1" max="1" width="5" customWidth="1"/>
    <col min="2" max="2" width="78" customWidth="1"/>
    <col min="3" max="3" width="7" customWidth="1"/>
    <col min="4" max="4" width="10" customWidth="1"/>
    <col min="5" max="5" width="14" customWidth="1"/>
    <col min="6" max="6" width="15" customWidth="1"/>
  </cols>
  <sheetData>
    <row r="1" spans="1:6" ht="30" customHeight="1" x14ac:dyDescent="0.3">
      <c r="A1" s="8" t="s">
        <v>0</v>
      </c>
      <c r="B1" s="9"/>
      <c r="C1" s="9"/>
      <c r="D1" s="9"/>
      <c r="E1" s="9"/>
      <c r="F1" s="9"/>
    </row>
    <row r="2" spans="1:6" x14ac:dyDescent="0.3">
      <c r="A2" s="8" t="s">
        <v>1</v>
      </c>
      <c r="B2" s="9"/>
      <c r="C2" s="9"/>
      <c r="D2" s="9"/>
      <c r="E2" s="9"/>
      <c r="F2" s="9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12" t="s">
        <v>8</v>
      </c>
      <c r="B4" s="9"/>
      <c r="C4" s="9"/>
      <c r="D4" s="9"/>
      <c r="E4" s="9"/>
      <c r="F4" s="9"/>
    </row>
    <row r="5" spans="1:6" ht="42" customHeight="1" x14ac:dyDescent="0.3">
      <c r="A5" s="2">
        <v>1</v>
      </c>
      <c r="B5" s="3" t="s">
        <v>9</v>
      </c>
      <c r="C5" s="2" t="s">
        <v>10</v>
      </c>
      <c r="D5" s="2">
        <v>152</v>
      </c>
      <c r="E5" s="4">
        <v>2950</v>
      </c>
      <c r="F5" s="5">
        <f t="shared" ref="F5:F13" si="0">D5*E5</f>
        <v>448400</v>
      </c>
    </row>
    <row r="6" spans="1:6" ht="42" customHeight="1" x14ac:dyDescent="0.3">
      <c r="A6" s="2">
        <v>2</v>
      </c>
      <c r="B6" s="3" t="s">
        <v>11</v>
      </c>
      <c r="C6" s="2" t="s">
        <v>10</v>
      </c>
      <c r="D6" s="2">
        <v>2</v>
      </c>
      <c r="E6" s="4">
        <v>78000</v>
      </c>
      <c r="F6" s="5">
        <f t="shared" si="0"/>
        <v>156000</v>
      </c>
    </row>
    <row r="7" spans="1:6" ht="42" customHeight="1" x14ac:dyDescent="0.3">
      <c r="A7" s="2">
        <v>3</v>
      </c>
      <c r="B7" s="3" t="s">
        <v>12</v>
      </c>
      <c r="C7" s="2" t="s">
        <v>13</v>
      </c>
      <c r="D7" s="2">
        <v>92</v>
      </c>
      <c r="E7" s="4">
        <v>2600</v>
      </c>
      <c r="F7" s="5">
        <f t="shared" si="0"/>
        <v>239200</v>
      </c>
    </row>
    <row r="8" spans="1:6" ht="42" customHeight="1" x14ac:dyDescent="0.3">
      <c r="A8" s="2">
        <v>4</v>
      </c>
      <c r="B8" s="3" t="s">
        <v>14</v>
      </c>
      <c r="C8" s="2" t="s">
        <v>10</v>
      </c>
      <c r="D8" s="2">
        <v>2</v>
      </c>
      <c r="E8" s="4">
        <v>4500</v>
      </c>
      <c r="F8" s="5">
        <f t="shared" si="0"/>
        <v>9000</v>
      </c>
    </row>
    <row r="9" spans="1:6" ht="42" customHeight="1" x14ac:dyDescent="0.3">
      <c r="A9" s="2">
        <v>5</v>
      </c>
      <c r="B9" s="3" t="s">
        <v>15</v>
      </c>
      <c r="C9" s="2" t="s">
        <v>10</v>
      </c>
      <c r="D9" s="2">
        <v>2</v>
      </c>
      <c r="E9" s="4">
        <v>8500</v>
      </c>
      <c r="F9" s="5">
        <f t="shared" si="0"/>
        <v>17000</v>
      </c>
    </row>
    <row r="10" spans="1:6" ht="42" customHeight="1" x14ac:dyDescent="0.3">
      <c r="A10" s="2">
        <v>6</v>
      </c>
      <c r="B10" s="3" t="s">
        <v>16</v>
      </c>
      <c r="C10" s="2" t="s">
        <v>17</v>
      </c>
      <c r="D10" s="2">
        <v>1</v>
      </c>
      <c r="E10" s="4">
        <v>15000</v>
      </c>
      <c r="F10" s="5">
        <f t="shared" si="0"/>
        <v>15000</v>
      </c>
    </row>
    <row r="11" spans="1:6" ht="42" customHeight="1" x14ac:dyDescent="0.3">
      <c r="A11" s="2">
        <v>7</v>
      </c>
      <c r="B11" s="3" t="s">
        <v>18</v>
      </c>
      <c r="C11" s="2" t="s">
        <v>17</v>
      </c>
      <c r="D11" s="2">
        <v>1</v>
      </c>
      <c r="E11" s="4">
        <v>60000</v>
      </c>
      <c r="F11" s="5">
        <f t="shared" si="0"/>
        <v>60000</v>
      </c>
    </row>
    <row r="12" spans="1:6" ht="42" customHeight="1" x14ac:dyDescent="0.3">
      <c r="A12" s="2">
        <v>8</v>
      </c>
      <c r="B12" s="3" t="s">
        <v>19</v>
      </c>
      <c r="C12" s="2" t="s">
        <v>10</v>
      </c>
      <c r="D12" s="2">
        <v>1</v>
      </c>
      <c r="E12" s="4">
        <v>50000</v>
      </c>
      <c r="F12" s="5">
        <f t="shared" si="0"/>
        <v>50000</v>
      </c>
    </row>
    <row r="13" spans="1:6" ht="42" customHeight="1" x14ac:dyDescent="0.3">
      <c r="A13" s="2">
        <v>9</v>
      </c>
      <c r="B13" s="3" t="s">
        <v>20</v>
      </c>
      <c r="C13" s="2" t="s">
        <v>10</v>
      </c>
      <c r="D13" s="2">
        <v>1</v>
      </c>
      <c r="E13" s="4">
        <v>39500</v>
      </c>
      <c r="F13" s="5">
        <f t="shared" si="0"/>
        <v>39500</v>
      </c>
    </row>
    <row r="14" spans="1:6" x14ac:dyDescent="0.3">
      <c r="A14" s="12" t="s">
        <v>21</v>
      </c>
      <c r="B14" s="9"/>
      <c r="C14" s="9"/>
      <c r="D14" s="9"/>
      <c r="E14" s="9"/>
      <c r="F14" s="9"/>
    </row>
    <row r="15" spans="1:6" ht="42" customHeight="1" x14ac:dyDescent="0.3">
      <c r="A15" s="2">
        <v>10</v>
      </c>
      <c r="B15" s="3" t="s">
        <v>9</v>
      </c>
      <c r="C15" s="2" t="s">
        <v>10</v>
      </c>
      <c r="D15" s="2">
        <v>120</v>
      </c>
      <c r="E15" s="4">
        <v>2950</v>
      </c>
      <c r="F15" s="5">
        <f t="shared" ref="F15:F20" si="1">D15*E15</f>
        <v>354000</v>
      </c>
    </row>
    <row r="16" spans="1:6" ht="42" customHeight="1" x14ac:dyDescent="0.3">
      <c r="A16" s="2">
        <v>11</v>
      </c>
      <c r="B16" s="3" t="s">
        <v>11</v>
      </c>
      <c r="C16" s="2" t="s">
        <v>10</v>
      </c>
      <c r="D16" s="2">
        <v>1</v>
      </c>
      <c r="E16" s="4">
        <v>78000</v>
      </c>
      <c r="F16" s="5">
        <f t="shared" si="1"/>
        <v>78000</v>
      </c>
    </row>
    <row r="17" spans="1:6" ht="42" customHeight="1" x14ac:dyDescent="0.3">
      <c r="A17" s="2">
        <v>12</v>
      </c>
      <c r="B17" s="3" t="s">
        <v>12</v>
      </c>
      <c r="C17" s="2" t="s">
        <v>13</v>
      </c>
      <c r="D17" s="2">
        <v>92</v>
      </c>
      <c r="E17" s="4">
        <v>2600</v>
      </c>
      <c r="F17" s="5">
        <f t="shared" si="1"/>
        <v>239200</v>
      </c>
    </row>
    <row r="18" spans="1:6" ht="42" customHeight="1" x14ac:dyDescent="0.3">
      <c r="A18" s="2">
        <v>13</v>
      </c>
      <c r="B18" s="3" t="s">
        <v>14</v>
      </c>
      <c r="C18" s="2" t="s">
        <v>10</v>
      </c>
      <c r="D18" s="2">
        <v>1</v>
      </c>
      <c r="E18" s="4">
        <v>4500</v>
      </c>
      <c r="F18" s="5">
        <f t="shared" si="1"/>
        <v>4500</v>
      </c>
    </row>
    <row r="19" spans="1:6" ht="42" customHeight="1" x14ac:dyDescent="0.3">
      <c r="A19" s="2">
        <v>14</v>
      </c>
      <c r="B19" s="3" t="s">
        <v>15</v>
      </c>
      <c r="C19" s="2" t="s">
        <v>10</v>
      </c>
      <c r="D19" s="2">
        <v>1</v>
      </c>
      <c r="E19" s="4">
        <v>8500</v>
      </c>
      <c r="F19" s="5">
        <f t="shared" si="1"/>
        <v>8500</v>
      </c>
    </row>
    <row r="20" spans="1:6" ht="42" customHeight="1" x14ac:dyDescent="0.3">
      <c r="A20" s="2">
        <v>15</v>
      </c>
      <c r="B20" s="3" t="s">
        <v>22</v>
      </c>
      <c r="C20" s="2" t="s">
        <v>17</v>
      </c>
      <c r="D20" s="2">
        <v>1</v>
      </c>
      <c r="E20" s="4">
        <v>15000</v>
      </c>
      <c r="F20" s="5">
        <f t="shared" si="1"/>
        <v>15000</v>
      </c>
    </row>
    <row r="21" spans="1:6" x14ac:dyDescent="0.3">
      <c r="A21" s="12" t="s">
        <v>23</v>
      </c>
      <c r="B21" s="9"/>
      <c r="C21" s="9"/>
      <c r="D21" s="9"/>
      <c r="E21" s="9"/>
      <c r="F21" s="9"/>
    </row>
    <row r="22" spans="1:6" ht="42" customHeight="1" x14ac:dyDescent="0.3">
      <c r="A22" s="2">
        <v>16</v>
      </c>
      <c r="B22" s="3" t="s">
        <v>9</v>
      </c>
      <c r="C22" s="2" t="s">
        <v>10</v>
      </c>
      <c r="D22" s="2">
        <v>288</v>
      </c>
      <c r="E22" s="4">
        <v>2950</v>
      </c>
      <c r="F22" s="5">
        <f t="shared" ref="F22:F30" si="2">D22*E22</f>
        <v>849600</v>
      </c>
    </row>
    <row r="23" spans="1:6" ht="42" customHeight="1" x14ac:dyDescent="0.3">
      <c r="A23" s="2">
        <v>17</v>
      </c>
      <c r="B23" s="3" t="s">
        <v>11</v>
      </c>
      <c r="C23" s="2" t="s">
        <v>10</v>
      </c>
      <c r="D23" s="2">
        <v>3</v>
      </c>
      <c r="E23" s="4">
        <v>78000</v>
      </c>
      <c r="F23" s="5">
        <f t="shared" si="2"/>
        <v>234000</v>
      </c>
    </row>
    <row r="24" spans="1:6" ht="42" customHeight="1" x14ac:dyDescent="0.3">
      <c r="A24" s="2">
        <v>18</v>
      </c>
      <c r="B24" s="3" t="s">
        <v>12</v>
      </c>
      <c r="C24" s="2" t="s">
        <v>13</v>
      </c>
      <c r="D24" s="2">
        <v>92</v>
      </c>
      <c r="E24" s="4">
        <v>2600</v>
      </c>
      <c r="F24" s="5">
        <f t="shared" si="2"/>
        <v>239200</v>
      </c>
    </row>
    <row r="25" spans="1:6" ht="42" customHeight="1" x14ac:dyDescent="0.3">
      <c r="A25" s="2">
        <v>19</v>
      </c>
      <c r="B25" s="3" t="s">
        <v>14</v>
      </c>
      <c r="C25" s="2" t="s">
        <v>10</v>
      </c>
      <c r="D25" s="2">
        <v>3</v>
      </c>
      <c r="E25" s="4">
        <v>4500</v>
      </c>
      <c r="F25" s="5">
        <f t="shared" si="2"/>
        <v>13500</v>
      </c>
    </row>
    <row r="26" spans="1:6" ht="42" customHeight="1" x14ac:dyDescent="0.3">
      <c r="A26" s="2">
        <v>20</v>
      </c>
      <c r="B26" s="3" t="s">
        <v>15</v>
      </c>
      <c r="C26" s="2" t="s">
        <v>10</v>
      </c>
      <c r="D26" s="2">
        <v>3</v>
      </c>
      <c r="E26" s="4">
        <v>8500</v>
      </c>
      <c r="F26" s="5">
        <f t="shared" si="2"/>
        <v>25500</v>
      </c>
    </row>
    <row r="27" spans="1:6" ht="42" customHeight="1" x14ac:dyDescent="0.3">
      <c r="A27" s="2">
        <v>21</v>
      </c>
      <c r="B27" s="3" t="s">
        <v>24</v>
      </c>
      <c r="C27" s="2" t="s">
        <v>17</v>
      </c>
      <c r="D27" s="2">
        <v>1</v>
      </c>
      <c r="E27" s="4">
        <v>15000</v>
      </c>
      <c r="F27" s="5">
        <f t="shared" si="2"/>
        <v>15000</v>
      </c>
    </row>
    <row r="28" spans="1:6" ht="42" customHeight="1" x14ac:dyDescent="0.3">
      <c r="A28" s="2">
        <v>22</v>
      </c>
      <c r="B28" s="3" t="s">
        <v>25</v>
      </c>
      <c r="C28" s="2" t="s">
        <v>17</v>
      </c>
      <c r="D28" s="2">
        <v>1</v>
      </c>
      <c r="E28" s="4">
        <v>45000</v>
      </c>
      <c r="F28" s="5">
        <f t="shared" si="2"/>
        <v>45000</v>
      </c>
    </row>
    <row r="29" spans="1:6" ht="42" customHeight="1" x14ac:dyDescent="0.3">
      <c r="A29" s="2">
        <v>23</v>
      </c>
      <c r="B29" s="3" t="s">
        <v>19</v>
      </c>
      <c r="C29" s="2" t="s">
        <v>10</v>
      </c>
      <c r="D29" s="2">
        <v>1</v>
      </c>
      <c r="E29" s="4">
        <v>50000</v>
      </c>
      <c r="F29" s="5">
        <f t="shared" si="2"/>
        <v>50000</v>
      </c>
    </row>
    <row r="30" spans="1:6" ht="42" customHeight="1" x14ac:dyDescent="0.3">
      <c r="A30" s="2">
        <v>24</v>
      </c>
      <c r="B30" s="3" t="s">
        <v>20</v>
      </c>
      <c r="C30" s="2" t="s">
        <v>10</v>
      </c>
      <c r="D30" s="2">
        <v>1</v>
      </c>
      <c r="E30" s="4">
        <v>39500</v>
      </c>
      <c r="F30" s="5">
        <f t="shared" si="2"/>
        <v>39500</v>
      </c>
    </row>
    <row r="31" spans="1:6" x14ac:dyDescent="0.3">
      <c r="A31" s="12" t="s">
        <v>26</v>
      </c>
      <c r="B31" s="9"/>
      <c r="C31" s="9"/>
      <c r="D31" s="9"/>
      <c r="E31" s="9"/>
      <c r="F31" s="9"/>
    </row>
    <row r="32" spans="1:6" ht="42" customHeight="1" x14ac:dyDescent="0.3">
      <c r="A32" s="2">
        <v>25</v>
      </c>
      <c r="B32" s="3" t="s">
        <v>27</v>
      </c>
      <c r="C32" s="2" t="s">
        <v>17</v>
      </c>
      <c r="D32" s="2">
        <v>1</v>
      </c>
      <c r="E32" s="4">
        <v>262000</v>
      </c>
      <c r="F32" s="5">
        <f t="shared" ref="F32:F37" si="3">D32*E32</f>
        <v>262000</v>
      </c>
    </row>
    <row r="33" spans="1:6" ht="42" customHeight="1" x14ac:dyDescent="0.3">
      <c r="A33" s="2">
        <v>26</v>
      </c>
      <c r="B33" s="3" t="s">
        <v>28</v>
      </c>
      <c r="C33" s="2" t="s">
        <v>17</v>
      </c>
      <c r="D33" s="2">
        <v>1</v>
      </c>
      <c r="E33" s="4">
        <v>45000</v>
      </c>
      <c r="F33" s="5">
        <f t="shared" si="3"/>
        <v>45000</v>
      </c>
    </row>
    <row r="34" spans="1:6" ht="42" customHeight="1" x14ac:dyDescent="0.3">
      <c r="A34" s="2">
        <v>27</v>
      </c>
      <c r="B34" s="3" t="s">
        <v>29</v>
      </c>
      <c r="C34" s="2" t="s">
        <v>30</v>
      </c>
      <c r="D34" s="2">
        <v>150</v>
      </c>
      <c r="E34" s="4">
        <v>1500</v>
      </c>
      <c r="F34" s="5">
        <f t="shared" si="3"/>
        <v>225000</v>
      </c>
    </row>
    <row r="35" spans="1:6" ht="42" customHeight="1" x14ac:dyDescent="0.3">
      <c r="A35" s="2">
        <v>28</v>
      </c>
      <c r="B35" s="3" t="s">
        <v>31</v>
      </c>
      <c r="C35" s="2" t="s">
        <v>17</v>
      </c>
      <c r="D35" s="2">
        <v>1</v>
      </c>
      <c r="E35" s="4">
        <v>200000</v>
      </c>
      <c r="F35" s="5">
        <f t="shared" si="3"/>
        <v>200000</v>
      </c>
    </row>
    <row r="36" spans="1:6" ht="42" customHeight="1" x14ac:dyDescent="0.3">
      <c r="A36" s="2">
        <v>29</v>
      </c>
      <c r="B36" s="3" t="s">
        <v>32</v>
      </c>
      <c r="C36" s="2" t="s">
        <v>17</v>
      </c>
      <c r="D36" s="2">
        <v>1</v>
      </c>
      <c r="E36" s="4">
        <v>120000</v>
      </c>
      <c r="F36" s="5">
        <f t="shared" si="3"/>
        <v>120000</v>
      </c>
    </row>
    <row r="37" spans="1:6" ht="42" customHeight="1" x14ac:dyDescent="0.3">
      <c r="A37" s="2">
        <v>30</v>
      </c>
      <c r="B37" s="3" t="s">
        <v>33</v>
      </c>
      <c r="C37" s="2" t="s">
        <v>17</v>
      </c>
      <c r="D37" s="2">
        <v>1</v>
      </c>
      <c r="E37" s="4">
        <v>70000</v>
      </c>
      <c r="F37" s="5">
        <f t="shared" si="3"/>
        <v>70000</v>
      </c>
    </row>
    <row r="39" spans="1:6" x14ac:dyDescent="0.3">
      <c r="B39" s="6" t="s">
        <v>34</v>
      </c>
      <c r="F39" s="7">
        <f>SUM(F5:F37)</f>
        <v>4166600</v>
      </c>
    </row>
    <row r="40" spans="1:6" x14ac:dyDescent="0.3">
      <c r="B40" s="6" t="s">
        <v>35</v>
      </c>
      <c r="F40" s="7">
        <f>F39*0.2</f>
        <v>833320</v>
      </c>
    </row>
    <row r="41" spans="1:6" x14ac:dyDescent="0.3">
      <c r="B41" s="6" t="s">
        <v>36</v>
      </c>
      <c r="F41" s="7">
        <f>F39+F40</f>
        <v>4999920</v>
      </c>
    </row>
    <row r="43" spans="1:6" ht="30" customHeight="1" x14ac:dyDescent="0.3">
      <c r="A43" s="8" t="s">
        <v>37</v>
      </c>
      <c r="B43" s="9"/>
      <c r="C43" s="9"/>
      <c r="D43" s="9"/>
      <c r="E43" s="9"/>
      <c r="F43" s="9"/>
    </row>
    <row r="45" spans="1:6" x14ac:dyDescent="0.3">
      <c r="A45" s="9" t="s">
        <v>38</v>
      </c>
      <c r="B45" s="9"/>
      <c r="C45" s="9"/>
      <c r="D45" s="9"/>
      <c r="E45" s="9"/>
      <c r="F45" s="9"/>
    </row>
    <row r="47" spans="1:6" x14ac:dyDescent="0.3">
      <c r="A47" s="11" t="s">
        <v>39</v>
      </c>
      <c r="B47" s="9"/>
      <c r="C47" s="9"/>
      <c r="D47" s="9"/>
      <c r="E47" s="9"/>
      <c r="F47" s="9"/>
    </row>
    <row r="49" spans="1:6" ht="55.05" customHeight="1" x14ac:dyDescent="0.3">
      <c r="A49" s="10" t="s">
        <v>40</v>
      </c>
      <c r="B49" s="9"/>
      <c r="C49" s="9"/>
      <c r="D49" s="9"/>
      <c r="E49" s="9"/>
      <c r="F49" s="9"/>
    </row>
  </sheetData>
  <mergeCells count="10">
    <mergeCell ref="A2:F2"/>
    <mergeCell ref="A49:F49"/>
    <mergeCell ref="A47:F47"/>
    <mergeCell ref="A14:F14"/>
    <mergeCell ref="A1:F1"/>
    <mergeCell ref="A45:F45"/>
    <mergeCell ref="A31:F31"/>
    <mergeCell ref="A4:F4"/>
    <mergeCell ref="A21:F21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Reda Kasri</cp:lastModifiedBy>
  <dcterms:created xsi:type="dcterms:W3CDTF">2026-07-27T15:31:00Z</dcterms:created>
  <dcterms:modified xsi:type="dcterms:W3CDTF">2026-07-27T18:58:57Z</dcterms:modified>
</cp:coreProperties>
</file>